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gm\Documents\TCC\"/>
    </mc:Choice>
  </mc:AlternateContent>
  <xr:revisionPtr revIDLastSave="0" documentId="13_ncr:1_{A57CD25B-5DA8-45C1-BC23-E550BC70FC0B}" xr6:coauthVersionLast="36" xr6:coauthVersionMax="36" xr10:uidLastSave="{00000000-0000-0000-0000-000000000000}"/>
  <bookViews>
    <workbookView xWindow="0" yWindow="0" windowWidth="4350" windowHeight="2550" activeTab="1" xr2:uid="{68753654-8F04-4F60-8B2F-C48CB6E4376F}"/>
  </bookViews>
  <sheets>
    <sheet name="Sheet1" sheetId="1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50" i="3" l="1"/>
  <c r="Q39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40" i="3"/>
  <c r="Q41" i="3"/>
  <c r="Q42" i="3"/>
  <c r="Q43" i="3"/>
  <c r="Q44" i="3"/>
  <c r="Q45" i="3"/>
  <c r="Q46" i="3"/>
  <c r="Q47" i="3"/>
  <c r="Q48" i="3"/>
  <c r="Q49" i="3"/>
  <c r="Q51" i="3"/>
  <c r="Q52" i="3"/>
  <c r="Q53" i="3"/>
  <c r="Q54" i="3"/>
  <c r="Q55" i="3"/>
  <c r="Q56" i="3"/>
  <c r="Q57" i="3"/>
  <c r="Q58" i="3"/>
  <c r="Q59" i="3"/>
  <c r="Q60" i="3"/>
  <c r="Q61" i="3"/>
  <c r="Q62" i="3"/>
  <c r="Q11" i="3"/>
</calcChain>
</file>

<file path=xl/sharedStrings.xml><?xml version="1.0" encoding="utf-8"?>
<sst xmlns="http://schemas.openxmlformats.org/spreadsheetml/2006/main" count="480" uniqueCount="248">
  <si>
    <t>Column Name</t>
  </si>
  <si>
    <t>SIVEP Gripe Description on Data Dictionary</t>
  </si>
  <si>
    <t>Possible Values</t>
  </si>
  <si>
    <t>1 - Yes; 2-No; 9-Ignored</t>
  </si>
  <si>
    <t>Name of aligned class on DOID ontology</t>
  </si>
  <si>
    <t>Aligned class ID on DOID ontology</t>
  </si>
  <si>
    <t>CARDIOPATI</t>
  </si>
  <si>
    <t>HEMATOLOGI</t>
  </si>
  <si>
    <t>SIND_DOWN</t>
  </si>
  <si>
    <t>HEPATICA</t>
  </si>
  <si>
    <t>ASMA</t>
  </si>
  <si>
    <t>DIABETES</t>
  </si>
  <si>
    <t>PNEUMOPATI</t>
  </si>
  <si>
    <t>IMUNODEPRE</t>
  </si>
  <si>
    <t>RENAL</t>
  </si>
  <si>
    <t>OBESIDADE</t>
  </si>
  <si>
    <t>MORB_DESC</t>
  </si>
  <si>
    <t>has chronic cadiovascular disease?</t>
  </si>
  <si>
    <t>has chronic hemathologic disease?</t>
  </si>
  <si>
    <t>has down syndrome?</t>
  </si>
  <si>
    <t>has diabetes?</t>
  </si>
  <si>
    <t>has other chronic lung disease?</t>
  </si>
  <si>
    <t>has immunodefficiency or immunodepression?</t>
  </si>
  <si>
    <t>has chronic kidney disease?</t>
  </si>
  <si>
    <t>is obese?</t>
  </si>
  <si>
    <t>cardiovascular system disease</t>
  </si>
  <si>
    <t>DOID:1273</t>
  </si>
  <si>
    <t>NEUROLOGIC</t>
  </si>
  <si>
    <t>has neurological disease?</t>
  </si>
  <si>
    <t>hematopoietic system disease</t>
  </si>
  <si>
    <t>DOID:74</t>
  </si>
  <si>
    <t>DOID:14250</t>
  </si>
  <si>
    <t>Down syndrome</t>
  </si>
  <si>
    <t>has chronic hepatic disease?</t>
  </si>
  <si>
    <t>liver disease</t>
  </si>
  <si>
    <t>DOID:409</t>
  </si>
  <si>
    <t>has asthma?</t>
  </si>
  <si>
    <t>asthma</t>
  </si>
  <si>
    <t>DOID:850</t>
  </si>
  <si>
    <t>lung disease</t>
  </si>
  <si>
    <t>DOID:11705</t>
  </si>
  <si>
    <t>kidney disease</t>
  </si>
  <si>
    <t>obesity</t>
  </si>
  <si>
    <t>DOID:9970</t>
  </si>
  <si>
    <t>brain disease</t>
  </si>
  <si>
    <t>DOID:936</t>
  </si>
  <si>
    <t>"</t>
  </si>
  <si>
    <t>,</t>
  </si>
  <si>
    <t>diabetes mellitus</t>
  </si>
  <si>
    <t>DOID:9351</t>
  </si>
  <si>
    <t>used instead of normal diabetes (couldn’t compute similarities)</t>
  </si>
  <si>
    <t>chronic asthma</t>
  </si>
  <si>
    <t>DOID:0080809</t>
  </si>
  <si>
    <t>immune system disease</t>
  </si>
  <si>
    <t>DOID:2914</t>
  </si>
  <si>
    <t>)</t>
  </si>
  <si>
    <t>DPOC</t>
  </si>
  <si>
    <t>DLP</t>
  </si>
  <si>
    <t>HIPOTIREOIDISMO</t>
  </si>
  <si>
    <t>TABAGISTA</t>
  </si>
  <si>
    <t>DEPRESSAO</t>
  </si>
  <si>
    <t>EX TABAGISTA</t>
  </si>
  <si>
    <t>ALZHEIMER</t>
  </si>
  <si>
    <t>AVC</t>
  </si>
  <si>
    <t xml:space="preserve"> DPOC</t>
  </si>
  <si>
    <t>ICC</t>
  </si>
  <si>
    <t xml:space="preserve"> DLP</t>
  </si>
  <si>
    <t>DISLIPIDEMIA</t>
  </si>
  <si>
    <t>ETILISTA</t>
  </si>
  <si>
    <t>HIPERTENSAO</t>
  </si>
  <si>
    <t xml:space="preserve"> TABAGISTA</t>
  </si>
  <si>
    <t xml:space="preserve"> HIPOTIREOIDISMO</t>
  </si>
  <si>
    <t xml:space="preserve"> EX TABAGISTA</t>
  </si>
  <si>
    <t>TABAGISMO</t>
  </si>
  <si>
    <t>HIPOTIROIDISMO</t>
  </si>
  <si>
    <t xml:space="preserve"> DEPRESSAO</t>
  </si>
  <si>
    <t>HPB</t>
  </si>
  <si>
    <t>ANSIEDADE</t>
  </si>
  <si>
    <t>EX-TABAGISTA</t>
  </si>
  <si>
    <t>EPILEPSIA</t>
  </si>
  <si>
    <t>PARKINSON</t>
  </si>
  <si>
    <t>IAM</t>
  </si>
  <si>
    <t>DEMENCIA</t>
  </si>
  <si>
    <t>DM</t>
  </si>
  <si>
    <t>DAC</t>
  </si>
  <si>
    <t xml:space="preserve"> ALZHEIMER</t>
  </si>
  <si>
    <t xml:space="preserve"> ICC</t>
  </si>
  <si>
    <t xml:space="preserve"> AVC</t>
  </si>
  <si>
    <t>HIV</t>
  </si>
  <si>
    <t>FIBROMIALGIA</t>
  </si>
  <si>
    <t>ANEMIA</t>
  </si>
  <si>
    <t xml:space="preserve"> DISLIPIDEMIA</t>
  </si>
  <si>
    <t>ESQUIZOFRENIA</t>
  </si>
  <si>
    <t>IC</t>
  </si>
  <si>
    <t>ETILISMO</t>
  </si>
  <si>
    <t xml:space="preserve"> TABAGISMO</t>
  </si>
  <si>
    <t xml:space="preserve"> HPB</t>
  </si>
  <si>
    <t xml:space="preserve"> OBESIDADE</t>
  </si>
  <si>
    <t>CARDIOPATA</t>
  </si>
  <si>
    <t xml:space="preserve"> EX-TABAGISTA</t>
  </si>
  <si>
    <t xml:space="preserve"> ETILISTA</t>
  </si>
  <si>
    <t>ARRITMIA</t>
  </si>
  <si>
    <t>GLAUCOMA</t>
  </si>
  <si>
    <t>DSLP</t>
  </si>
  <si>
    <t xml:space="preserve"> DM</t>
  </si>
  <si>
    <t>BRONQUITE</t>
  </si>
  <si>
    <t xml:space="preserve"> IAM</t>
  </si>
  <si>
    <t>GOTA</t>
  </si>
  <si>
    <t>AVE</t>
  </si>
  <si>
    <t>ARTRITE</t>
  </si>
  <si>
    <t xml:space="preserve"> ANSIEDADE</t>
  </si>
  <si>
    <t>CA MAMA</t>
  </si>
  <si>
    <t>FA</t>
  </si>
  <si>
    <t xml:space="preserve"> HIPOTIROIDISMO</t>
  </si>
  <si>
    <t>CA DE MAMA</t>
  </si>
  <si>
    <t xml:space="preserve"> EPILEPSIA</t>
  </si>
  <si>
    <t>CARDIOPATIA</t>
  </si>
  <si>
    <t>LUPUS</t>
  </si>
  <si>
    <t xml:space="preserve"> DEMENCIA</t>
  </si>
  <si>
    <t>OSTEOPOROSE</t>
  </si>
  <si>
    <t>TVP</t>
  </si>
  <si>
    <t>ACAMADO</t>
  </si>
  <si>
    <t>AVC PREVIO</t>
  </si>
  <si>
    <t>ARTROSE</t>
  </si>
  <si>
    <t>CA PROSTATA</t>
  </si>
  <si>
    <t>NEOPLASIA</t>
  </si>
  <si>
    <t xml:space="preserve"> PARKINSON</t>
  </si>
  <si>
    <t>ACAMADA</t>
  </si>
  <si>
    <t xml:space="preserve"> ANEMIA</t>
  </si>
  <si>
    <t xml:space="preserve"> DAC</t>
  </si>
  <si>
    <t>HIPOTIREODISMO</t>
  </si>
  <si>
    <t>DRC</t>
  </si>
  <si>
    <t>GASTRITE</t>
  </si>
  <si>
    <t xml:space="preserve"> IC</t>
  </si>
  <si>
    <t>DRGE</t>
  </si>
  <si>
    <t>IRA</t>
  </si>
  <si>
    <t>ARTRITE REUMATOIDE</t>
  </si>
  <si>
    <t>AVCI</t>
  </si>
  <si>
    <t>CHAGAS</t>
  </si>
  <si>
    <t>CA DE PROSTATA</t>
  </si>
  <si>
    <t xml:space="preserve"> ETILISMO</t>
  </si>
  <si>
    <t>DAOP</t>
  </si>
  <si>
    <t xml:space="preserve"> ARRITMIA</t>
  </si>
  <si>
    <t>TEP</t>
  </si>
  <si>
    <t xml:space="preserve"> GLAUCOMA</t>
  </si>
  <si>
    <t>HIPERTENSO</t>
  </si>
  <si>
    <t xml:space="preserve"> FA</t>
  </si>
  <si>
    <t>ITU</t>
  </si>
  <si>
    <t xml:space="preserve"> GOTA</t>
  </si>
  <si>
    <t xml:space="preserve"> DSLP</t>
  </si>
  <si>
    <t xml:space="preserve">DPOC </t>
  </si>
  <si>
    <t>SOBREPESO</t>
  </si>
  <si>
    <t xml:space="preserve"> ARTROSE</t>
  </si>
  <si>
    <t>LEUCEMIA</t>
  </si>
  <si>
    <t>chronic obstructive pulmonary disease</t>
  </si>
  <si>
    <t>hypothyroidism</t>
  </si>
  <si>
    <t>DOID:1459</t>
  </si>
  <si>
    <t>major depressive disorder</t>
  </si>
  <si>
    <t>Alzheimer's disease</t>
  </si>
  <si>
    <t>Parkinson's disease</t>
  </si>
  <si>
    <t>DOID:10652</t>
  </si>
  <si>
    <t>DOID:6713</t>
  </si>
  <si>
    <t>congestive heart failure</t>
  </si>
  <si>
    <t>lipid metabolism disorder</t>
  </si>
  <si>
    <t>DOID:3146</t>
  </si>
  <si>
    <t>alcohol use disorder</t>
  </si>
  <si>
    <t>DOID:1574</t>
  </si>
  <si>
    <t>DOID:10763</t>
  </si>
  <si>
    <t>hypertension</t>
  </si>
  <si>
    <t>DOID:1826</t>
  </si>
  <si>
    <t>epilepsy</t>
  </si>
  <si>
    <t>DOID:14330</t>
  </si>
  <si>
    <t>acute myocardial infarctation</t>
  </si>
  <si>
    <t>DOID:9408</t>
  </si>
  <si>
    <t>dementia</t>
  </si>
  <si>
    <t>DOID:1307</t>
  </si>
  <si>
    <t>coronary artery disease</t>
  </si>
  <si>
    <t>DOID:3393</t>
  </si>
  <si>
    <t>DOID:526</t>
  </si>
  <si>
    <t>human immunodeficiency virus infectious disease</t>
  </si>
  <si>
    <t>fibromyalgia</t>
  </si>
  <si>
    <t>DOID:631</t>
  </si>
  <si>
    <t>anemia</t>
  </si>
  <si>
    <t>DOID:2355</t>
  </si>
  <si>
    <t>schizophrenia</t>
  </si>
  <si>
    <t>DOID:5419</t>
  </si>
  <si>
    <t>DOID:1686</t>
  </si>
  <si>
    <t>glaucoma</t>
  </si>
  <si>
    <t>bronchitis</t>
  </si>
  <si>
    <t>gout</t>
  </si>
  <si>
    <t>DOID:13189</t>
  </si>
  <si>
    <t>lupus erythematosus</t>
  </si>
  <si>
    <t>DOID:8857</t>
  </si>
  <si>
    <t>atrial fibrilation</t>
  </si>
  <si>
    <t>DOID:0060224</t>
  </si>
  <si>
    <t>heart conduction disease</t>
  </si>
  <si>
    <t>DOID:10273</t>
  </si>
  <si>
    <t>prostate cancer</t>
  </si>
  <si>
    <t>DOID:848</t>
  </si>
  <si>
    <t>arthritis</t>
  </si>
  <si>
    <t>DOID:8398</t>
  </si>
  <si>
    <t>orteoarthritis</t>
  </si>
  <si>
    <t>osteoporosis</t>
  </si>
  <si>
    <t>gastritis</t>
  </si>
  <si>
    <t>DOID:11476</t>
  </si>
  <si>
    <t>leukemia</t>
  </si>
  <si>
    <t>DOID:1240</t>
  </si>
  <si>
    <t>breast cancer</t>
  </si>
  <si>
    <t>DOID:1612</t>
  </si>
  <si>
    <t>rheumatoid arthitis</t>
  </si>
  <si>
    <t>DOID:7148</t>
  </si>
  <si>
    <t>Chagas disease</t>
  </si>
  <si>
    <t>DOID:12140</t>
  </si>
  <si>
    <t>DOID:4029</t>
  </si>
  <si>
    <t>DOID:0080784</t>
  </si>
  <si>
    <t>urinary tract infection</t>
  </si>
  <si>
    <t>DOID:8534</t>
  </si>
  <si>
    <t>gastroesophageal reflux disease</t>
  </si>
  <si>
    <t>acute kidney failure</t>
  </si>
  <si>
    <t>DOID:3021</t>
  </si>
  <si>
    <t>benign neoplasm</t>
  </si>
  <si>
    <t>DOID:0060072</t>
  </si>
  <si>
    <t>not a disease</t>
  </si>
  <si>
    <t>peripheral vascular disease</t>
  </si>
  <si>
    <t>DOID:341</t>
  </si>
  <si>
    <t>pulmonar embolism</t>
  </si>
  <si>
    <t>DOID:9477</t>
  </si>
  <si>
    <t>not on DOID</t>
  </si>
  <si>
    <t>generalized anxiety disorder</t>
  </si>
  <si>
    <t>DOID:14320</t>
  </si>
  <si>
    <t>benign adenoma of prostate</t>
  </si>
  <si>
    <t>DOID:2883</t>
  </si>
  <si>
    <t>DOID:6000</t>
  </si>
  <si>
    <t>DOID:2841</t>
  </si>
  <si>
    <t>niccotine dependence</t>
  </si>
  <si>
    <t>DOID:0050742</t>
  </si>
  <si>
    <t>cerebro vascular disease</t>
  </si>
  <si>
    <t>DOID:1470</t>
  </si>
  <si>
    <t>DOID:3083</t>
  </si>
  <si>
    <t>DOID:6132</t>
  </si>
  <si>
    <t>DOID:10283</t>
  </si>
  <si>
    <t>columns</t>
  </si>
  <si>
    <t>words</t>
  </si>
  <si>
    <t>DOID NAME</t>
  </si>
  <si>
    <t>DOID ID</t>
  </si>
  <si>
    <t>python list</t>
  </si>
  <si>
    <t>[</t>
  </si>
  <si>
    <t>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</si>
</sst>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2" xfId="0" applyFill="1" applyBorder="1" applyAlignment="1">
      <alignment wrapText="1"/>
    </xf>
    <xf numFmtId="0" fontId="0" fillId="2" borderId="4" xfId="0" applyFill="1" applyBorder="1"/>
    <xf numFmtId="0" fontId="0" fillId="2" borderId="0" xfId="0" applyFill="1" applyBorder="1"/>
    <xf numFmtId="0" fontId="0" fillId="2" borderId="0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2" borderId="5" xfId="0" applyFill="1" applyBorder="1" applyAlignment="1">
      <alignment horizont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7" xfId="0" applyFill="1" applyBorder="1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/>
    <xf numFmtId="0" fontId="0" fillId="3" borderId="0" xfId="0" applyFill="1"/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8FF4-AEF9-4D90-89B8-59C8D4E78C51}">
  <dimension ref="A1:K81"/>
  <sheetViews>
    <sheetView zoomScale="110" zoomScaleNormal="110" workbookViewId="0">
      <selection activeCell="A2" activeCellId="1" sqref="D2:E12 A2:A12"/>
    </sheetView>
  </sheetViews>
  <sheetFormatPr defaultRowHeight="15" x14ac:dyDescent="0.25"/>
  <cols>
    <col min="1" max="1" width="22.7109375" customWidth="1"/>
    <col min="2" max="2" width="35.85546875" customWidth="1"/>
    <col min="3" max="3" width="49" customWidth="1"/>
    <col min="4" max="4" width="35.85546875" bestFit="1" customWidth="1"/>
    <col min="5" max="5" width="35.42578125" customWidth="1"/>
    <col min="6" max="6" width="26.140625" customWidth="1"/>
    <col min="7" max="7" width="12.5703125" customWidth="1"/>
  </cols>
  <sheetData>
    <row r="1" spans="1:6" ht="30" x14ac:dyDescent="0.25">
      <c r="A1" s="13" t="s">
        <v>0</v>
      </c>
      <c r="B1" s="1" t="s">
        <v>1</v>
      </c>
      <c r="C1" s="1" t="s">
        <v>2</v>
      </c>
      <c r="D1" s="1" t="s">
        <v>4</v>
      </c>
      <c r="E1" s="5" t="s">
        <v>5</v>
      </c>
    </row>
    <row r="2" spans="1:6" ht="30" x14ac:dyDescent="0.25">
      <c r="A2" s="2" t="s">
        <v>6</v>
      </c>
      <c r="B2" s="4" t="s">
        <v>17</v>
      </c>
      <c r="C2" s="3" t="s">
        <v>3</v>
      </c>
      <c r="D2" s="4" t="s">
        <v>25</v>
      </c>
      <c r="E2" s="14" t="s">
        <v>26</v>
      </c>
    </row>
    <row r="3" spans="1:6" ht="30" x14ac:dyDescent="0.25">
      <c r="A3" s="6" t="s">
        <v>7</v>
      </c>
      <c r="B3" s="4" t="s">
        <v>18</v>
      </c>
      <c r="C3" s="3" t="s">
        <v>3</v>
      </c>
      <c r="D3" s="8" t="s">
        <v>29</v>
      </c>
      <c r="E3" s="9" t="s">
        <v>30</v>
      </c>
    </row>
    <row r="4" spans="1:6" x14ac:dyDescent="0.25">
      <c r="A4" s="6" t="s">
        <v>8</v>
      </c>
      <c r="B4" s="7" t="s">
        <v>19</v>
      </c>
      <c r="C4" s="3" t="s">
        <v>3</v>
      </c>
      <c r="D4" s="8" t="s">
        <v>32</v>
      </c>
      <c r="E4" s="9" t="s">
        <v>31</v>
      </c>
    </row>
    <row r="5" spans="1:6" x14ac:dyDescent="0.25">
      <c r="A5" s="6" t="s">
        <v>9</v>
      </c>
      <c r="B5" s="7" t="s">
        <v>33</v>
      </c>
      <c r="C5" s="3" t="s">
        <v>3</v>
      </c>
      <c r="D5" s="8" t="s">
        <v>34</v>
      </c>
      <c r="E5" s="9" t="s">
        <v>35</v>
      </c>
    </row>
    <row r="6" spans="1:6" x14ac:dyDescent="0.25">
      <c r="A6" s="6" t="s">
        <v>10</v>
      </c>
      <c r="B6" s="7" t="s">
        <v>36</v>
      </c>
      <c r="C6" s="3" t="s">
        <v>3</v>
      </c>
      <c r="D6" s="8" t="s">
        <v>37</v>
      </c>
      <c r="E6" s="9" t="s">
        <v>233</v>
      </c>
    </row>
    <row r="7" spans="1:6" x14ac:dyDescent="0.25">
      <c r="A7" s="6" t="s">
        <v>11</v>
      </c>
      <c r="B7" s="8" t="s">
        <v>20</v>
      </c>
      <c r="C7" s="3" t="s">
        <v>3</v>
      </c>
      <c r="D7" s="8" t="s">
        <v>48</v>
      </c>
      <c r="E7" s="9" t="s">
        <v>49</v>
      </c>
      <c r="F7" t="s">
        <v>50</v>
      </c>
    </row>
    <row r="8" spans="1:6" x14ac:dyDescent="0.25">
      <c r="A8" s="6" t="s">
        <v>12</v>
      </c>
      <c r="B8" s="7" t="s">
        <v>21</v>
      </c>
      <c r="C8" s="3" t="s">
        <v>3</v>
      </c>
      <c r="D8" s="8" t="s">
        <v>39</v>
      </c>
      <c r="E8" s="9" t="s">
        <v>38</v>
      </c>
    </row>
    <row r="9" spans="1:6" ht="30" x14ac:dyDescent="0.25">
      <c r="A9" s="6" t="s">
        <v>13</v>
      </c>
      <c r="B9" s="8" t="s">
        <v>22</v>
      </c>
      <c r="C9" s="3" t="s">
        <v>3</v>
      </c>
      <c r="D9" s="8" t="s">
        <v>53</v>
      </c>
      <c r="E9" s="9" t="s">
        <v>54</v>
      </c>
    </row>
    <row r="10" spans="1:6" x14ac:dyDescent="0.25">
      <c r="A10" s="6" t="s">
        <v>14</v>
      </c>
      <c r="B10" s="8" t="s">
        <v>23</v>
      </c>
      <c r="C10" s="3" t="s">
        <v>3</v>
      </c>
      <c r="D10" s="8" t="s">
        <v>41</v>
      </c>
      <c r="E10" s="9" t="s">
        <v>40</v>
      </c>
    </row>
    <row r="11" spans="1:6" x14ac:dyDescent="0.25">
      <c r="A11" s="6" t="s">
        <v>15</v>
      </c>
      <c r="B11" s="8" t="s">
        <v>24</v>
      </c>
      <c r="C11" s="3" t="s">
        <v>3</v>
      </c>
      <c r="D11" s="8" t="s">
        <v>42</v>
      </c>
      <c r="E11" s="15" t="s">
        <v>43</v>
      </c>
    </row>
    <row r="12" spans="1:6" x14ac:dyDescent="0.25">
      <c r="A12" s="6" t="s">
        <v>27</v>
      </c>
      <c r="B12" s="8" t="s">
        <v>28</v>
      </c>
      <c r="C12" s="3" t="s">
        <v>3</v>
      </c>
      <c r="D12" s="8" t="s">
        <v>44</v>
      </c>
      <c r="E12" s="15" t="s">
        <v>45</v>
      </c>
    </row>
    <row r="13" spans="1:6" x14ac:dyDescent="0.25">
      <c r="A13" s="6" t="s">
        <v>16</v>
      </c>
      <c r="B13" s="8"/>
      <c r="C13" s="3" t="s">
        <v>3</v>
      </c>
      <c r="D13" s="7"/>
      <c r="E13" s="9"/>
    </row>
    <row r="14" spans="1:6" ht="15.75" thickBot="1" x14ac:dyDescent="0.3">
      <c r="A14" s="10"/>
      <c r="B14" s="11"/>
      <c r="C14" s="16" t="s">
        <v>3</v>
      </c>
      <c r="D14" s="11"/>
      <c r="E14" s="12"/>
    </row>
    <row r="15" spans="1:6" x14ac:dyDescent="0.25">
      <c r="A15" s="17"/>
      <c r="B15" s="18"/>
      <c r="C15" s="19"/>
      <c r="D15" s="17"/>
      <c r="E15" s="17"/>
    </row>
    <row r="16" spans="1:6" x14ac:dyDescent="0.25">
      <c r="A16" s="17"/>
      <c r="B16" s="18"/>
      <c r="C16" s="17"/>
      <c r="D16" s="17"/>
      <c r="E16" s="17"/>
    </row>
    <row r="17" spans="3:11" x14ac:dyDescent="0.25">
      <c r="C17" s="3"/>
      <c r="D17" t="s">
        <v>154</v>
      </c>
      <c r="E17" t="s">
        <v>238</v>
      </c>
      <c r="F17" t="s">
        <v>56</v>
      </c>
      <c r="G17" t="s">
        <v>64</v>
      </c>
      <c r="H17" t="s">
        <v>150</v>
      </c>
    </row>
    <row r="18" spans="3:11" x14ac:dyDescent="0.25">
      <c r="D18" t="s">
        <v>163</v>
      </c>
      <c r="E18" t="s">
        <v>164</v>
      </c>
      <c r="F18" t="s">
        <v>57</v>
      </c>
      <c r="G18" t="s">
        <v>66</v>
      </c>
      <c r="H18" t="s">
        <v>67</v>
      </c>
      <c r="I18" t="s">
        <v>91</v>
      </c>
      <c r="J18" t="s">
        <v>103</v>
      </c>
      <c r="K18" t="s">
        <v>149</v>
      </c>
    </row>
    <row r="19" spans="3:11" x14ac:dyDescent="0.25">
      <c r="D19" t="s">
        <v>155</v>
      </c>
      <c r="E19" t="s">
        <v>156</v>
      </c>
      <c r="F19" t="s">
        <v>58</v>
      </c>
      <c r="G19" t="s">
        <v>71</v>
      </c>
      <c r="H19" t="s">
        <v>113</v>
      </c>
      <c r="I19" t="s">
        <v>130</v>
      </c>
      <c r="J19" t="s">
        <v>74</v>
      </c>
    </row>
    <row r="20" spans="3:11" x14ac:dyDescent="0.25">
      <c r="D20" t="s">
        <v>234</v>
      </c>
      <c r="E20" t="s">
        <v>235</v>
      </c>
      <c r="F20" t="s">
        <v>59</v>
      </c>
      <c r="G20" t="s">
        <v>70</v>
      </c>
      <c r="H20" t="s">
        <v>73</v>
      </c>
      <c r="I20" t="s">
        <v>95</v>
      </c>
    </row>
    <row r="21" spans="3:11" x14ac:dyDescent="0.25">
      <c r="D21" t="s">
        <v>157</v>
      </c>
      <c r="E21" t="s">
        <v>237</v>
      </c>
      <c r="F21" t="s">
        <v>60</v>
      </c>
      <c r="G21" t="s">
        <v>75</v>
      </c>
    </row>
    <row r="22" spans="3:11" x14ac:dyDescent="0.25">
      <c r="D22" t="s">
        <v>234</v>
      </c>
      <c r="E22" t="s">
        <v>235</v>
      </c>
      <c r="F22" t="s">
        <v>61</v>
      </c>
      <c r="G22" t="s">
        <v>78</v>
      </c>
      <c r="H22" t="s">
        <v>99</v>
      </c>
      <c r="I22" t="s">
        <v>72</v>
      </c>
    </row>
    <row r="23" spans="3:11" x14ac:dyDescent="0.25">
      <c r="D23" t="s">
        <v>158</v>
      </c>
      <c r="E23" t="s">
        <v>160</v>
      </c>
      <c r="F23" t="s">
        <v>62</v>
      </c>
      <c r="G23" t="s">
        <v>85</v>
      </c>
    </row>
    <row r="24" spans="3:11" x14ac:dyDescent="0.25">
      <c r="D24" t="s">
        <v>42</v>
      </c>
      <c r="E24" t="s">
        <v>43</v>
      </c>
      <c r="F24" t="s">
        <v>15</v>
      </c>
      <c r="G24" t="s">
        <v>97</v>
      </c>
    </row>
    <row r="25" spans="3:11" x14ac:dyDescent="0.25">
      <c r="D25" t="s">
        <v>236</v>
      </c>
      <c r="E25" t="s">
        <v>161</v>
      </c>
      <c r="F25" t="s">
        <v>63</v>
      </c>
      <c r="G25" t="s">
        <v>87</v>
      </c>
      <c r="H25" t="s">
        <v>122</v>
      </c>
      <c r="I25" t="s">
        <v>108</v>
      </c>
      <c r="J25" t="s">
        <v>137</v>
      </c>
    </row>
    <row r="26" spans="3:11" x14ac:dyDescent="0.25">
      <c r="D26" t="s">
        <v>162</v>
      </c>
      <c r="E26" t="s">
        <v>232</v>
      </c>
      <c r="F26" t="s">
        <v>65</v>
      </c>
      <c r="G26" t="s">
        <v>86</v>
      </c>
      <c r="H26" t="s">
        <v>93</v>
      </c>
      <c r="I26" t="s">
        <v>133</v>
      </c>
    </row>
    <row r="27" spans="3:11" x14ac:dyDescent="0.25">
      <c r="D27" t="s">
        <v>165</v>
      </c>
      <c r="E27" t="s">
        <v>166</v>
      </c>
      <c r="F27" t="s">
        <v>68</v>
      </c>
      <c r="G27" t="s">
        <v>94</v>
      </c>
      <c r="H27" t="s">
        <v>100</v>
      </c>
      <c r="I27" t="s">
        <v>140</v>
      </c>
    </row>
    <row r="28" spans="3:11" x14ac:dyDescent="0.25">
      <c r="D28" t="s">
        <v>168</v>
      </c>
      <c r="E28" t="s">
        <v>167</v>
      </c>
      <c r="F28" t="s">
        <v>69</v>
      </c>
      <c r="G28" t="s">
        <v>145</v>
      </c>
    </row>
    <row r="29" spans="3:11" x14ac:dyDescent="0.25">
      <c r="D29" t="s">
        <v>230</v>
      </c>
      <c r="E29" t="s">
        <v>231</v>
      </c>
      <c r="F29" t="s">
        <v>76</v>
      </c>
      <c r="G29" t="s">
        <v>96</v>
      </c>
    </row>
    <row r="30" spans="3:11" x14ac:dyDescent="0.25">
      <c r="D30" t="s">
        <v>228</v>
      </c>
      <c r="E30" t="s">
        <v>229</v>
      </c>
      <c r="F30" t="s">
        <v>77</v>
      </c>
      <c r="G30" t="s">
        <v>110</v>
      </c>
    </row>
    <row r="31" spans="3:11" x14ac:dyDescent="0.25">
      <c r="D31" t="s">
        <v>170</v>
      </c>
      <c r="E31" t="s">
        <v>169</v>
      </c>
      <c r="F31" t="s">
        <v>79</v>
      </c>
      <c r="G31" t="s">
        <v>115</v>
      </c>
    </row>
    <row r="32" spans="3:11" x14ac:dyDescent="0.25">
      <c r="D32" t="s">
        <v>159</v>
      </c>
      <c r="E32" t="s">
        <v>171</v>
      </c>
      <c r="F32" t="s">
        <v>80</v>
      </c>
      <c r="G32" t="s">
        <v>126</v>
      </c>
    </row>
    <row r="33" spans="4:7" x14ac:dyDescent="0.25">
      <c r="D33" t="s">
        <v>172</v>
      </c>
      <c r="E33" t="s">
        <v>173</v>
      </c>
      <c r="F33" t="s">
        <v>81</v>
      </c>
      <c r="G33" t="s">
        <v>106</v>
      </c>
    </row>
    <row r="34" spans="4:7" x14ac:dyDescent="0.25">
      <c r="D34" t="s">
        <v>174</v>
      </c>
      <c r="E34" t="s">
        <v>175</v>
      </c>
      <c r="F34" t="s">
        <v>82</v>
      </c>
      <c r="G34" t="s">
        <v>118</v>
      </c>
    </row>
    <row r="35" spans="4:7" x14ac:dyDescent="0.25">
      <c r="D35" t="s">
        <v>48</v>
      </c>
      <c r="E35" t="s">
        <v>49</v>
      </c>
      <c r="F35" t="s">
        <v>83</v>
      </c>
      <c r="G35" t="s">
        <v>104</v>
      </c>
    </row>
    <row r="36" spans="4:7" x14ac:dyDescent="0.25">
      <c r="D36" t="s">
        <v>176</v>
      </c>
      <c r="E36" t="s">
        <v>177</v>
      </c>
      <c r="F36" t="s">
        <v>84</v>
      </c>
      <c r="G36" t="s">
        <v>129</v>
      </c>
    </row>
    <row r="37" spans="4:7" x14ac:dyDescent="0.25">
      <c r="D37" t="s">
        <v>179</v>
      </c>
      <c r="E37" t="s">
        <v>178</v>
      </c>
      <c r="F37" t="s">
        <v>88</v>
      </c>
    </row>
    <row r="38" spans="4:7" x14ac:dyDescent="0.25">
      <c r="D38" t="s">
        <v>180</v>
      </c>
      <c r="E38" t="s">
        <v>181</v>
      </c>
      <c r="F38" t="s">
        <v>89</v>
      </c>
    </row>
    <row r="39" spans="4:7" x14ac:dyDescent="0.25">
      <c r="D39" t="s">
        <v>182</v>
      </c>
      <c r="E39" t="s">
        <v>183</v>
      </c>
      <c r="F39" t="s">
        <v>90</v>
      </c>
      <c r="G39" t="s">
        <v>128</v>
      </c>
    </row>
    <row r="40" spans="4:7" x14ac:dyDescent="0.25">
      <c r="D40" t="s">
        <v>184</v>
      </c>
      <c r="E40" t="s">
        <v>185</v>
      </c>
      <c r="F40" t="s">
        <v>92</v>
      </c>
    </row>
    <row r="41" spans="4:7" x14ac:dyDescent="0.25">
      <c r="D41" t="s">
        <v>25</v>
      </c>
      <c r="E41" t="s">
        <v>26</v>
      </c>
      <c r="F41" t="s">
        <v>98</v>
      </c>
      <c r="G41" t="s">
        <v>116</v>
      </c>
    </row>
    <row r="42" spans="4:7" x14ac:dyDescent="0.25">
      <c r="D42" t="s">
        <v>195</v>
      </c>
      <c r="E42" t="s">
        <v>196</v>
      </c>
      <c r="F42" t="s">
        <v>101</v>
      </c>
      <c r="G42" t="s">
        <v>142</v>
      </c>
    </row>
    <row r="43" spans="4:7" x14ac:dyDescent="0.25">
      <c r="D43" t="s">
        <v>187</v>
      </c>
      <c r="E43" t="s">
        <v>186</v>
      </c>
      <c r="F43" t="s">
        <v>102</v>
      </c>
      <c r="G43" t="s">
        <v>144</v>
      </c>
    </row>
    <row r="44" spans="4:7" x14ac:dyDescent="0.25">
      <c r="D44" t="s">
        <v>188</v>
      </c>
      <c r="E44" t="s">
        <v>239</v>
      </c>
      <c r="F44" t="s">
        <v>105</v>
      </c>
    </row>
    <row r="45" spans="4:7" x14ac:dyDescent="0.25">
      <c r="D45" t="s">
        <v>189</v>
      </c>
      <c r="E45" t="s">
        <v>190</v>
      </c>
      <c r="F45" t="s">
        <v>107</v>
      </c>
      <c r="G45" t="s">
        <v>148</v>
      </c>
    </row>
    <row r="46" spans="4:7" x14ac:dyDescent="0.25">
      <c r="D46" t="s">
        <v>199</v>
      </c>
      <c r="E46" t="s">
        <v>198</v>
      </c>
      <c r="F46" t="s">
        <v>109</v>
      </c>
    </row>
    <row r="47" spans="4:7" x14ac:dyDescent="0.25">
      <c r="D47" t="s">
        <v>207</v>
      </c>
      <c r="E47" t="s">
        <v>208</v>
      </c>
      <c r="F47" t="s">
        <v>111</v>
      </c>
      <c r="G47" t="s">
        <v>114</v>
      </c>
    </row>
    <row r="48" spans="4:7" x14ac:dyDescent="0.25">
      <c r="D48" t="s">
        <v>193</v>
      </c>
      <c r="E48" t="s">
        <v>194</v>
      </c>
      <c r="F48" t="s">
        <v>112</v>
      </c>
      <c r="G48" t="s">
        <v>146</v>
      </c>
    </row>
    <row r="49" spans="4:7" x14ac:dyDescent="0.25">
      <c r="D49" t="s">
        <v>191</v>
      </c>
      <c r="E49" t="s">
        <v>192</v>
      </c>
      <c r="F49" t="s">
        <v>117</v>
      </c>
    </row>
    <row r="50" spans="4:7" x14ac:dyDescent="0.25">
      <c r="D50" t="s">
        <v>202</v>
      </c>
      <c r="E50" t="s">
        <v>204</v>
      </c>
      <c r="F50" t="s">
        <v>119</v>
      </c>
    </row>
    <row r="51" spans="4:7" x14ac:dyDescent="0.25">
      <c r="F51" t="s">
        <v>120</v>
      </c>
    </row>
    <row r="52" spans="4:7" x14ac:dyDescent="0.25">
      <c r="D52" t="s">
        <v>222</v>
      </c>
      <c r="E52" t="s">
        <v>222</v>
      </c>
      <c r="F52" t="s">
        <v>121</v>
      </c>
      <c r="G52" t="s">
        <v>127</v>
      </c>
    </row>
    <row r="53" spans="4:7" x14ac:dyDescent="0.25">
      <c r="D53" t="s">
        <v>201</v>
      </c>
      <c r="E53" t="s">
        <v>200</v>
      </c>
      <c r="F53" t="s">
        <v>123</v>
      </c>
      <c r="G53" t="s">
        <v>152</v>
      </c>
    </row>
    <row r="54" spans="4:7" x14ac:dyDescent="0.25">
      <c r="D54" t="s">
        <v>197</v>
      </c>
      <c r="E54" t="s">
        <v>240</v>
      </c>
      <c r="F54" t="s">
        <v>124</v>
      </c>
      <c r="G54" t="s">
        <v>139</v>
      </c>
    </row>
    <row r="55" spans="4:7" x14ac:dyDescent="0.25">
      <c r="D55" t="s">
        <v>220</v>
      </c>
      <c r="E55" t="s">
        <v>221</v>
      </c>
      <c r="F55" t="s">
        <v>125</v>
      </c>
    </row>
    <row r="56" spans="4:7" x14ac:dyDescent="0.25">
      <c r="D56" t="s">
        <v>41</v>
      </c>
      <c r="E56" t="s">
        <v>40</v>
      </c>
      <c r="F56" t="s">
        <v>131</v>
      </c>
    </row>
    <row r="57" spans="4:7" x14ac:dyDescent="0.25">
      <c r="D57" t="s">
        <v>203</v>
      </c>
      <c r="E57" t="s">
        <v>213</v>
      </c>
      <c r="F57" t="s">
        <v>132</v>
      </c>
    </row>
    <row r="58" spans="4:7" x14ac:dyDescent="0.25">
      <c r="D58" t="s">
        <v>217</v>
      </c>
      <c r="E58" t="s">
        <v>216</v>
      </c>
      <c r="F58" t="s">
        <v>134</v>
      </c>
    </row>
    <row r="59" spans="4:7" x14ac:dyDescent="0.25">
      <c r="D59" t="s">
        <v>218</v>
      </c>
      <c r="E59" t="s">
        <v>219</v>
      </c>
      <c r="F59" t="s">
        <v>135</v>
      </c>
    </row>
    <row r="60" spans="4:7" x14ac:dyDescent="0.25">
      <c r="D60" t="s">
        <v>209</v>
      </c>
      <c r="E60" t="s">
        <v>210</v>
      </c>
      <c r="F60" t="s">
        <v>136</v>
      </c>
    </row>
    <row r="61" spans="4:7" x14ac:dyDescent="0.25">
      <c r="D61" t="s">
        <v>211</v>
      </c>
      <c r="E61" t="s">
        <v>212</v>
      </c>
      <c r="F61" t="s">
        <v>138</v>
      </c>
    </row>
    <row r="62" spans="4:7" x14ac:dyDescent="0.25">
      <c r="D62" t="s">
        <v>51</v>
      </c>
      <c r="E62" t="s">
        <v>52</v>
      </c>
      <c r="F62" t="s">
        <v>10</v>
      </c>
    </row>
    <row r="63" spans="4:7" x14ac:dyDescent="0.25">
      <c r="D63" t="s">
        <v>223</v>
      </c>
      <c r="E63" t="s">
        <v>224</v>
      </c>
      <c r="F63" t="s">
        <v>141</v>
      </c>
    </row>
    <row r="64" spans="4:7" x14ac:dyDescent="0.25">
      <c r="D64" t="s">
        <v>225</v>
      </c>
      <c r="E64" t="s">
        <v>226</v>
      </c>
      <c r="F64" t="s">
        <v>143</v>
      </c>
    </row>
    <row r="65" spans="4:8" x14ac:dyDescent="0.25">
      <c r="D65" s="20" t="s">
        <v>215</v>
      </c>
      <c r="E65" s="20" t="s">
        <v>214</v>
      </c>
      <c r="F65" s="20" t="s">
        <v>147</v>
      </c>
    </row>
    <row r="66" spans="4:8" x14ac:dyDescent="0.25">
      <c r="D66" t="s">
        <v>227</v>
      </c>
      <c r="E66" t="s">
        <v>227</v>
      </c>
      <c r="F66" t="s">
        <v>151</v>
      </c>
    </row>
    <row r="67" spans="4:8" x14ac:dyDescent="0.25">
      <c r="D67" t="s">
        <v>205</v>
      </c>
      <c r="E67" t="s">
        <v>206</v>
      </c>
      <c r="F67" t="s">
        <v>153</v>
      </c>
    </row>
    <row r="80" spans="4:8" x14ac:dyDescent="0.25">
      <c r="H80" t="s">
        <v>55</v>
      </c>
    </row>
    <row r="81" spans="8:8" x14ac:dyDescent="0.25">
      <c r="H81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C9B6E-6E90-48D6-A481-FC78F654A72E}">
  <dimension ref="H9:T62"/>
  <sheetViews>
    <sheetView tabSelected="1" topLeftCell="G8" zoomScale="90" zoomScaleNormal="90" workbookViewId="0">
      <selection activeCell="K69" sqref="K69"/>
    </sheetView>
  </sheetViews>
  <sheetFormatPr defaultRowHeight="15" x14ac:dyDescent="0.25"/>
  <cols>
    <col min="7" max="7" width="13.140625" customWidth="1"/>
    <col min="8" max="8" width="46.5703125" bestFit="1" customWidth="1"/>
    <col min="9" max="9" width="13.28515625" bestFit="1" customWidth="1"/>
    <col min="10" max="10" width="15.5703125" customWidth="1"/>
    <col min="11" max="11" width="22.28515625" bestFit="1" customWidth="1"/>
    <col min="12" max="12" width="19.42578125" bestFit="1" customWidth="1"/>
    <col min="13" max="13" width="16.7109375" bestFit="1" customWidth="1"/>
    <col min="14" max="14" width="18" bestFit="1" customWidth="1"/>
    <col min="15" max="15" width="17.7109375" bestFit="1" customWidth="1"/>
    <col min="16" max="16" width="6.28515625" bestFit="1" customWidth="1"/>
    <col min="17" max="17" width="78.42578125" bestFit="1" customWidth="1"/>
  </cols>
  <sheetData>
    <row r="9" spans="8:20" ht="15.75" thickBot="1" x14ac:dyDescent="0.3">
      <c r="Q9" t="s">
        <v>246</v>
      </c>
      <c r="R9" t="s">
        <v>247</v>
      </c>
      <c r="S9" t="s">
        <v>46</v>
      </c>
      <c r="T9" t="s">
        <v>47</v>
      </c>
    </row>
    <row r="10" spans="8:20" ht="15.75" thickBot="1" x14ac:dyDescent="0.3">
      <c r="H10" s="24" t="s">
        <v>243</v>
      </c>
      <c r="I10" s="27" t="s">
        <v>244</v>
      </c>
      <c r="J10" s="24" t="s">
        <v>241</v>
      </c>
      <c r="K10" s="21" t="s">
        <v>242</v>
      </c>
      <c r="L10" s="22"/>
      <c r="M10" s="22"/>
      <c r="N10" s="22"/>
      <c r="O10" s="22"/>
      <c r="P10" s="23"/>
      <c r="Q10" s="34" t="s">
        <v>245</v>
      </c>
    </row>
    <row r="11" spans="8:20" x14ac:dyDescent="0.25">
      <c r="H11" s="25" t="s">
        <v>25</v>
      </c>
      <c r="I11" s="28" t="s">
        <v>26</v>
      </c>
      <c r="J11" s="25" t="s">
        <v>6</v>
      </c>
      <c r="K11" s="30" t="s">
        <v>98</v>
      </c>
      <c r="L11" s="28" t="s">
        <v>116</v>
      </c>
      <c r="M11" s="28"/>
      <c r="N11" s="28"/>
      <c r="O11" s="28"/>
      <c r="P11" s="31"/>
      <c r="Q11" t="str">
        <f>_xlfn.CONCAT(":","[","""",K11,"""",",","""",L11,"""",",","""",M11,"""",",","""",N11,"""",",","""",O11,"""",",","""",P11,"""","]")</f>
        <v>:["CARDIOPATA","CARDIOPATIA","","","",""]</v>
      </c>
    </row>
    <row r="12" spans="8:20" x14ac:dyDescent="0.25">
      <c r="H12" s="25" t="s">
        <v>29</v>
      </c>
      <c r="I12" s="28" t="s">
        <v>30</v>
      </c>
      <c r="J12" s="25" t="s">
        <v>7</v>
      </c>
      <c r="K12" s="30"/>
      <c r="L12" s="28"/>
      <c r="M12" s="28"/>
      <c r="N12" s="28"/>
      <c r="O12" s="28"/>
      <c r="P12" s="31"/>
      <c r="Q12" t="str">
        <f t="shared" ref="Q12:Q62" si="0">_xlfn.CONCAT(":","[","""",K12,"""",",","""",L12,"""",",","""",M12,"""",",","""",N12,"""",",","""",O12,"""",",","""",P12,"""","]")</f>
        <v>:["","","","","",""]</v>
      </c>
    </row>
    <row r="13" spans="8:20" x14ac:dyDescent="0.25">
      <c r="H13" s="25" t="s">
        <v>32</v>
      </c>
      <c r="I13" s="28" t="s">
        <v>31</v>
      </c>
      <c r="J13" s="25" t="s">
        <v>8</v>
      </c>
      <c r="K13" s="30"/>
      <c r="L13" s="28"/>
      <c r="M13" s="28"/>
      <c r="N13" s="28"/>
      <c r="O13" s="28"/>
      <c r="P13" s="31"/>
      <c r="Q13" t="str">
        <f t="shared" si="0"/>
        <v>:["","","","","",""]</v>
      </c>
    </row>
    <row r="14" spans="8:20" x14ac:dyDescent="0.25">
      <c r="H14" s="25" t="s">
        <v>34</v>
      </c>
      <c r="I14" s="28" t="s">
        <v>35</v>
      </c>
      <c r="J14" s="25" t="s">
        <v>9</v>
      </c>
      <c r="K14" s="30"/>
      <c r="L14" s="28"/>
      <c r="M14" s="28"/>
      <c r="N14" s="28"/>
      <c r="O14" s="28"/>
      <c r="P14" s="31"/>
      <c r="Q14" t="str">
        <f t="shared" si="0"/>
        <v>:["","","","","",""]</v>
      </c>
    </row>
    <row r="15" spans="8:20" x14ac:dyDescent="0.25">
      <c r="H15" s="25" t="s">
        <v>37</v>
      </c>
      <c r="I15" s="28" t="s">
        <v>233</v>
      </c>
      <c r="J15" s="25" t="s">
        <v>10</v>
      </c>
      <c r="K15" s="30" t="s">
        <v>10</v>
      </c>
      <c r="L15" s="28"/>
      <c r="M15" s="28"/>
      <c r="N15" s="28"/>
      <c r="O15" s="28"/>
      <c r="P15" s="31"/>
      <c r="Q15" t="str">
        <f t="shared" si="0"/>
        <v>:["ASMA","","","","",""]</v>
      </c>
    </row>
    <row r="16" spans="8:20" x14ac:dyDescent="0.25">
      <c r="H16" s="25" t="s">
        <v>48</v>
      </c>
      <c r="I16" s="28" t="s">
        <v>49</v>
      </c>
      <c r="J16" s="25" t="s">
        <v>11</v>
      </c>
      <c r="K16" s="30" t="s">
        <v>83</v>
      </c>
      <c r="L16" s="28" t="s">
        <v>104</v>
      </c>
      <c r="M16" s="28"/>
      <c r="N16" s="28"/>
      <c r="O16" s="28"/>
      <c r="P16" s="31"/>
      <c r="Q16" t="str">
        <f t="shared" si="0"/>
        <v>:["DM"," DM","","","",""]</v>
      </c>
    </row>
    <row r="17" spans="8:17" x14ac:dyDescent="0.25">
      <c r="H17" s="25" t="s">
        <v>39</v>
      </c>
      <c r="I17" s="28" t="s">
        <v>38</v>
      </c>
      <c r="J17" s="25" t="s">
        <v>12</v>
      </c>
      <c r="K17" s="30"/>
      <c r="L17" s="28"/>
      <c r="M17" s="28"/>
      <c r="N17" s="28"/>
      <c r="O17" s="28"/>
      <c r="P17" s="31"/>
      <c r="Q17" t="str">
        <f t="shared" si="0"/>
        <v>:["","","","","",""]</v>
      </c>
    </row>
    <row r="18" spans="8:17" x14ac:dyDescent="0.25">
      <c r="H18" s="25" t="s">
        <v>53</v>
      </c>
      <c r="I18" s="28" t="s">
        <v>54</v>
      </c>
      <c r="J18" s="25" t="s">
        <v>13</v>
      </c>
      <c r="K18" s="30"/>
      <c r="L18" s="28"/>
      <c r="M18" s="28"/>
      <c r="N18" s="28"/>
      <c r="O18" s="28"/>
      <c r="P18" s="31"/>
      <c r="Q18" t="str">
        <f t="shared" si="0"/>
        <v>:["","","","","",""]</v>
      </c>
    </row>
    <row r="19" spans="8:17" x14ac:dyDescent="0.25">
      <c r="H19" s="25" t="s">
        <v>41</v>
      </c>
      <c r="I19" s="28" t="s">
        <v>40</v>
      </c>
      <c r="J19" s="25" t="s">
        <v>14</v>
      </c>
      <c r="K19" s="30" t="s">
        <v>131</v>
      </c>
      <c r="L19" s="28"/>
      <c r="M19" s="28"/>
      <c r="N19" s="28"/>
      <c r="O19" s="28"/>
      <c r="P19" s="31"/>
      <c r="Q19" t="str">
        <f t="shared" si="0"/>
        <v>:["DRC","","","","",""]</v>
      </c>
    </row>
    <row r="20" spans="8:17" x14ac:dyDescent="0.25">
      <c r="H20" s="25" t="s">
        <v>42</v>
      </c>
      <c r="I20" s="28" t="s">
        <v>43</v>
      </c>
      <c r="J20" s="25" t="s">
        <v>15</v>
      </c>
      <c r="K20" s="30" t="s">
        <v>15</v>
      </c>
      <c r="L20" s="28" t="s">
        <v>97</v>
      </c>
      <c r="M20" s="28"/>
      <c r="N20" s="28"/>
      <c r="O20" s="28"/>
      <c r="P20" s="31"/>
      <c r="Q20" t="str">
        <f t="shared" si="0"/>
        <v>:["OBESIDADE"," OBESIDADE","","","",""]</v>
      </c>
    </row>
    <row r="21" spans="8:17" x14ac:dyDescent="0.25">
      <c r="H21" s="25" t="s">
        <v>44</v>
      </c>
      <c r="I21" s="28" t="s">
        <v>45</v>
      </c>
      <c r="J21" s="25" t="s">
        <v>27</v>
      </c>
      <c r="K21" s="30"/>
      <c r="L21" s="28"/>
      <c r="M21" s="28"/>
      <c r="N21" s="28"/>
      <c r="O21" s="28"/>
      <c r="P21" s="31"/>
      <c r="Q21" t="str">
        <f t="shared" si="0"/>
        <v>:["","","","","",""]</v>
      </c>
    </row>
    <row r="22" spans="8:17" x14ac:dyDescent="0.25">
      <c r="H22" s="25" t="s">
        <v>154</v>
      </c>
      <c r="I22" s="28" t="s">
        <v>238</v>
      </c>
      <c r="J22" s="25"/>
      <c r="K22" s="30" t="s">
        <v>56</v>
      </c>
      <c r="L22" s="28" t="s">
        <v>64</v>
      </c>
      <c r="M22" s="28" t="s">
        <v>150</v>
      </c>
      <c r="N22" s="28"/>
      <c r="O22" s="28"/>
      <c r="P22" s="31"/>
      <c r="Q22" t="str">
        <f t="shared" si="0"/>
        <v>:["DPOC"," DPOC","DPOC ","","",""]</v>
      </c>
    </row>
    <row r="23" spans="8:17" x14ac:dyDescent="0.25">
      <c r="H23" s="25" t="s">
        <v>163</v>
      </c>
      <c r="I23" s="28" t="s">
        <v>164</v>
      </c>
      <c r="J23" s="25"/>
      <c r="K23" s="30" t="s">
        <v>57</v>
      </c>
      <c r="L23" s="28" t="s">
        <v>66</v>
      </c>
      <c r="M23" s="28" t="s">
        <v>67</v>
      </c>
      <c r="N23" s="28" t="s">
        <v>91</v>
      </c>
      <c r="O23" s="28" t="s">
        <v>103</v>
      </c>
      <c r="P23" s="31" t="s">
        <v>149</v>
      </c>
      <c r="Q23" t="str">
        <f t="shared" si="0"/>
        <v>:["DLP"," DLP","DISLIPIDEMIA"," DISLIPIDEMIA","DSLP"," DSLP"]</v>
      </c>
    </row>
    <row r="24" spans="8:17" x14ac:dyDescent="0.25">
      <c r="H24" s="25" t="s">
        <v>155</v>
      </c>
      <c r="I24" s="28" t="s">
        <v>156</v>
      </c>
      <c r="J24" s="25"/>
      <c r="K24" s="30" t="s">
        <v>58</v>
      </c>
      <c r="L24" s="28" t="s">
        <v>71</v>
      </c>
      <c r="M24" s="28" t="s">
        <v>113</v>
      </c>
      <c r="N24" s="28" t="s">
        <v>130</v>
      </c>
      <c r="O24" s="28" t="s">
        <v>74</v>
      </c>
      <c r="P24" s="31"/>
      <c r="Q24" t="str">
        <f t="shared" si="0"/>
        <v>:["HIPOTIREOIDISMO"," HIPOTIREOIDISMO"," HIPOTIROIDISMO","HIPOTIREODISMO","HIPOTIROIDISMO",""]</v>
      </c>
    </row>
    <row r="25" spans="8:17" x14ac:dyDescent="0.25">
      <c r="H25" s="25" t="s">
        <v>234</v>
      </c>
      <c r="I25" s="28" t="s">
        <v>235</v>
      </c>
      <c r="J25" s="25"/>
      <c r="K25" s="30" t="s">
        <v>59</v>
      </c>
      <c r="L25" s="28" t="s">
        <v>70</v>
      </c>
      <c r="M25" s="28" t="s">
        <v>73</v>
      </c>
      <c r="N25" s="28" t="s">
        <v>95</v>
      </c>
      <c r="O25" s="28"/>
      <c r="P25" s="31"/>
      <c r="Q25" t="str">
        <f t="shared" si="0"/>
        <v>:["TABAGISTA"," TABAGISTA","TABAGISMO"," TABAGISMO","",""]</v>
      </c>
    </row>
    <row r="26" spans="8:17" x14ac:dyDescent="0.25">
      <c r="H26" s="25" t="s">
        <v>157</v>
      </c>
      <c r="I26" s="28" t="s">
        <v>237</v>
      </c>
      <c r="J26" s="25"/>
      <c r="K26" s="30" t="s">
        <v>60</v>
      </c>
      <c r="L26" s="28" t="s">
        <v>75</v>
      </c>
      <c r="M26" s="28"/>
      <c r="N26" s="28"/>
      <c r="O26" s="28"/>
      <c r="P26" s="31"/>
      <c r="Q26" t="str">
        <f t="shared" si="0"/>
        <v>:["DEPRESSAO"," DEPRESSAO","","","",""]</v>
      </c>
    </row>
    <row r="27" spans="8:17" x14ac:dyDescent="0.25">
      <c r="H27" s="25" t="s">
        <v>158</v>
      </c>
      <c r="I27" s="28" t="s">
        <v>160</v>
      </c>
      <c r="J27" s="25"/>
      <c r="K27" s="30" t="s">
        <v>62</v>
      </c>
      <c r="L27" s="28" t="s">
        <v>85</v>
      </c>
      <c r="M27" s="28"/>
      <c r="N27" s="28"/>
      <c r="O27" s="28"/>
      <c r="P27" s="31"/>
      <c r="Q27" t="str">
        <f t="shared" si="0"/>
        <v>:["ALZHEIMER"," ALZHEIMER","","","",""]</v>
      </c>
    </row>
    <row r="28" spans="8:17" x14ac:dyDescent="0.25">
      <c r="H28" s="25" t="s">
        <v>236</v>
      </c>
      <c r="I28" s="28" t="s">
        <v>161</v>
      </c>
      <c r="J28" s="25"/>
      <c r="K28" s="30" t="s">
        <v>63</v>
      </c>
      <c r="L28" s="28" t="s">
        <v>87</v>
      </c>
      <c r="M28" s="28" t="s">
        <v>122</v>
      </c>
      <c r="N28" s="28" t="s">
        <v>108</v>
      </c>
      <c r="O28" s="28" t="s">
        <v>137</v>
      </c>
      <c r="P28" s="31"/>
      <c r="Q28" t="str">
        <f t="shared" si="0"/>
        <v>:["AVC"," AVC","AVC PREVIO","AVE","AVCI",""]</v>
      </c>
    </row>
    <row r="29" spans="8:17" x14ac:dyDescent="0.25">
      <c r="H29" s="25" t="s">
        <v>162</v>
      </c>
      <c r="I29" s="28" t="s">
        <v>232</v>
      </c>
      <c r="J29" s="25"/>
      <c r="K29" s="30" t="s">
        <v>65</v>
      </c>
      <c r="L29" s="28" t="s">
        <v>86</v>
      </c>
      <c r="M29" s="28" t="s">
        <v>93</v>
      </c>
      <c r="N29" s="28" t="s">
        <v>133</v>
      </c>
      <c r="O29" s="28"/>
      <c r="P29" s="31"/>
      <c r="Q29" t="str">
        <f t="shared" si="0"/>
        <v>:["ICC"," ICC","IC"," IC","",""]</v>
      </c>
    </row>
    <row r="30" spans="8:17" x14ac:dyDescent="0.25">
      <c r="H30" s="25" t="s">
        <v>165</v>
      </c>
      <c r="I30" s="28" t="s">
        <v>166</v>
      </c>
      <c r="J30" s="25"/>
      <c r="K30" s="30" t="s">
        <v>68</v>
      </c>
      <c r="L30" s="28" t="s">
        <v>94</v>
      </c>
      <c r="M30" s="28" t="s">
        <v>100</v>
      </c>
      <c r="N30" s="28" t="s">
        <v>140</v>
      </c>
      <c r="O30" s="28"/>
      <c r="P30" s="31"/>
      <c r="Q30" t="str">
        <f t="shared" si="0"/>
        <v>:["ETILISTA","ETILISMO"," ETILISTA"," ETILISMO","",""]</v>
      </c>
    </row>
    <row r="31" spans="8:17" x14ac:dyDescent="0.25">
      <c r="H31" s="25" t="s">
        <v>168</v>
      </c>
      <c r="I31" s="28" t="s">
        <v>167</v>
      </c>
      <c r="J31" s="25"/>
      <c r="K31" s="30" t="s">
        <v>69</v>
      </c>
      <c r="L31" s="28" t="s">
        <v>145</v>
      </c>
      <c r="M31" s="28"/>
      <c r="N31" s="28"/>
      <c r="O31" s="28"/>
      <c r="P31" s="31"/>
      <c r="Q31" t="str">
        <f t="shared" si="0"/>
        <v>:["HIPERTENSAO","HIPERTENSO","","","",""]</v>
      </c>
    </row>
    <row r="32" spans="8:17" x14ac:dyDescent="0.25">
      <c r="H32" s="25" t="s">
        <v>230</v>
      </c>
      <c r="I32" s="28" t="s">
        <v>231</v>
      </c>
      <c r="J32" s="25"/>
      <c r="K32" s="30" t="s">
        <v>76</v>
      </c>
      <c r="L32" s="28" t="s">
        <v>96</v>
      </c>
      <c r="M32" s="28"/>
      <c r="N32" s="28"/>
      <c r="O32" s="28"/>
      <c r="P32" s="31"/>
      <c r="Q32" t="str">
        <f t="shared" si="0"/>
        <v>:["HPB"," HPB","","","",""]</v>
      </c>
    </row>
    <row r="33" spans="8:17" x14ac:dyDescent="0.25">
      <c r="H33" s="25" t="s">
        <v>228</v>
      </c>
      <c r="I33" s="28" t="s">
        <v>229</v>
      </c>
      <c r="J33" s="25"/>
      <c r="K33" s="30" t="s">
        <v>77</v>
      </c>
      <c r="L33" s="28" t="s">
        <v>110</v>
      </c>
      <c r="M33" s="28"/>
      <c r="N33" s="28"/>
      <c r="O33" s="28"/>
      <c r="P33" s="31"/>
      <c r="Q33" t="str">
        <f t="shared" si="0"/>
        <v>:["ANSIEDADE"," ANSIEDADE","","","",""]</v>
      </c>
    </row>
    <row r="34" spans="8:17" x14ac:dyDescent="0.25">
      <c r="H34" s="25" t="s">
        <v>170</v>
      </c>
      <c r="I34" s="28" t="s">
        <v>169</v>
      </c>
      <c r="J34" s="25"/>
      <c r="K34" s="30" t="s">
        <v>79</v>
      </c>
      <c r="L34" s="28" t="s">
        <v>115</v>
      </c>
      <c r="M34" s="28"/>
      <c r="N34" s="28"/>
      <c r="O34" s="28"/>
      <c r="P34" s="31"/>
      <c r="Q34" t="str">
        <f t="shared" si="0"/>
        <v>:["EPILEPSIA"," EPILEPSIA","","","",""]</v>
      </c>
    </row>
    <row r="35" spans="8:17" x14ac:dyDescent="0.25">
      <c r="H35" s="25" t="s">
        <v>159</v>
      </c>
      <c r="I35" s="28" t="s">
        <v>171</v>
      </c>
      <c r="J35" s="25"/>
      <c r="K35" s="30" t="s">
        <v>80</v>
      </c>
      <c r="L35" s="28" t="s">
        <v>126</v>
      </c>
      <c r="M35" s="28"/>
      <c r="N35" s="28"/>
      <c r="O35" s="28"/>
      <c r="P35" s="31"/>
      <c r="Q35" t="str">
        <f t="shared" si="0"/>
        <v>:["PARKINSON"," PARKINSON","","","",""]</v>
      </c>
    </row>
    <row r="36" spans="8:17" x14ac:dyDescent="0.25">
      <c r="H36" s="25" t="s">
        <v>172</v>
      </c>
      <c r="I36" s="28" t="s">
        <v>173</v>
      </c>
      <c r="J36" s="25"/>
      <c r="K36" s="30" t="s">
        <v>81</v>
      </c>
      <c r="L36" s="28" t="s">
        <v>106</v>
      </c>
      <c r="M36" s="28"/>
      <c r="N36" s="28"/>
      <c r="O36" s="28"/>
      <c r="P36" s="31"/>
      <c r="Q36" t="str">
        <f t="shared" si="0"/>
        <v>:["IAM"," IAM","","","",""]</v>
      </c>
    </row>
    <row r="37" spans="8:17" x14ac:dyDescent="0.25">
      <c r="H37" s="25" t="s">
        <v>174</v>
      </c>
      <c r="I37" s="28" t="s">
        <v>175</v>
      </c>
      <c r="J37" s="25"/>
      <c r="K37" s="30" t="s">
        <v>82</v>
      </c>
      <c r="L37" s="28" t="s">
        <v>118</v>
      </c>
      <c r="M37" s="28"/>
      <c r="N37" s="28"/>
      <c r="O37" s="28"/>
      <c r="P37" s="31"/>
      <c r="Q37" t="str">
        <f t="shared" si="0"/>
        <v>:["DEMENCIA"," DEMENCIA","","","",""]</v>
      </c>
    </row>
    <row r="38" spans="8:17" x14ac:dyDescent="0.25">
      <c r="H38" s="25" t="s">
        <v>176</v>
      </c>
      <c r="I38" s="28" t="s">
        <v>177</v>
      </c>
      <c r="J38" s="25"/>
      <c r="K38" s="30" t="s">
        <v>84</v>
      </c>
      <c r="L38" s="28" t="s">
        <v>129</v>
      </c>
      <c r="M38" s="28"/>
      <c r="N38" s="28"/>
      <c r="O38" s="28"/>
      <c r="P38" s="31"/>
      <c r="Q38" t="str">
        <f t="shared" si="0"/>
        <v>:["DAC"," DAC","","","",""]</v>
      </c>
    </row>
    <row r="39" spans="8:17" x14ac:dyDescent="0.25">
      <c r="H39" s="25" t="s">
        <v>179</v>
      </c>
      <c r="I39" s="28" t="s">
        <v>178</v>
      </c>
      <c r="J39" s="25"/>
      <c r="K39" s="30" t="s">
        <v>88</v>
      </c>
      <c r="L39" s="28"/>
      <c r="M39" s="28"/>
      <c r="N39" s="28"/>
      <c r="O39" s="28"/>
      <c r="P39" s="31"/>
      <c r="Q39" t="str">
        <f t="shared" si="0"/>
        <v>:["HIV","","","","",""]</v>
      </c>
    </row>
    <row r="40" spans="8:17" x14ac:dyDescent="0.25">
      <c r="H40" s="25" t="s">
        <v>180</v>
      </c>
      <c r="I40" s="28" t="s">
        <v>181</v>
      </c>
      <c r="J40" s="25"/>
      <c r="K40" s="30" t="s">
        <v>89</v>
      </c>
      <c r="L40" s="28"/>
      <c r="M40" s="28"/>
      <c r="N40" s="28"/>
      <c r="O40" s="28"/>
      <c r="P40" s="31"/>
      <c r="Q40" t="str">
        <f t="shared" si="0"/>
        <v>:["FIBROMIALGIA","","","","",""]</v>
      </c>
    </row>
    <row r="41" spans="8:17" x14ac:dyDescent="0.25">
      <c r="H41" s="25" t="s">
        <v>182</v>
      </c>
      <c r="I41" s="28" t="s">
        <v>183</v>
      </c>
      <c r="J41" s="25"/>
      <c r="K41" s="30" t="s">
        <v>90</v>
      </c>
      <c r="L41" s="28" t="s">
        <v>128</v>
      </c>
      <c r="M41" s="28"/>
      <c r="N41" s="28"/>
      <c r="O41" s="28"/>
      <c r="P41" s="31"/>
      <c r="Q41" t="str">
        <f t="shared" si="0"/>
        <v>:["ANEMIA"," ANEMIA","","","",""]</v>
      </c>
    </row>
    <row r="42" spans="8:17" x14ac:dyDescent="0.25">
      <c r="H42" s="25" t="s">
        <v>184</v>
      </c>
      <c r="I42" s="28" t="s">
        <v>185</v>
      </c>
      <c r="J42" s="25"/>
      <c r="K42" s="30" t="s">
        <v>92</v>
      </c>
      <c r="L42" s="28"/>
      <c r="M42" s="28"/>
      <c r="N42" s="28"/>
      <c r="O42" s="28"/>
      <c r="P42" s="31"/>
      <c r="Q42" t="str">
        <f t="shared" si="0"/>
        <v>:["ESQUIZOFRENIA","","","","",""]</v>
      </c>
    </row>
    <row r="43" spans="8:17" x14ac:dyDescent="0.25">
      <c r="H43" s="25" t="s">
        <v>195</v>
      </c>
      <c r="I43" s="28" t="s">
        <v>196</v>
      </c>
      <c r="J43" s="25"/>
      <c r="K43" s="30" t="s">
        <v>101</v>
      </c>
      <c r="L43" s="28" t="s">
        <v>142</v>
      </c>
      <c r="M43" s="28"/>
      <c r="N43" s="28"/>
      <c r="O43" s="28"/>
      <c r="P43" s="31"/>
      <c r="Q43" t="str">
        <f t="shared" si="0"/>
        <v>:["ARRITMIA"," ARRITMIA","","","",""]</v>
      </c>
    </row>
    <row r="44" spans="8:17" x14ac:dyDescent="0.25">
      <c r="H44" s="25" t="s">
        <v>187</v>
      </c>
      <c r="I44" s="28" t="s">
        <v>186</v>
      </c>
      <c r="J44" s="25"/>
      <c r="K44" s="30" t="s">
        <v>102</v>
      </c>
      <c r="L44" s="28" t="s">
        <v>144</v>
      </c>
      <c r="M44" s="28"/>
      <c r="N44" s="28"/>
      <c r="O44" s="28"/>
      <c r="P44" s="31"/>
      <c r="Q44" t="str">
        <f t="shared" si="0"/>
        <v>:["GLAUCOMA"," GLAUCOMA","","","",""]</v>
      </c>
    </row>
    <row r="45" spans="8:17" x14ac:dyDescent="0.25">
      <c r="H45" s="25" t="s">
        <v>188</v>
      </c>
      <c r="I45" s="28" t="s">
        <v>239</v>
      </c>
      <c r="J45" s="25"/>
      <c r="K45" s="30" t="s">
        <v>105</v>
      </c>
      <c r="L45" s="28"/>
      <c r="M45" s="28"/>
      <c r="N45" s="28"/>
      <c r="O45" s="28"/>
      <c r="P45" s="31"/>
      <c r="Q45" t="str">
        <f t="shared" si="0"/>
        <v>:["BRONQUITE","","","","",""]</v>
      </c>
    </row>
    <row r="46" spans="8:17" x14ac:dyDescent="0.25">
      <c r="H46" s="25" t="s">
        <v>189</v>
      </c>
      <c r="I46" s="28" t="s">
        <v>190</v>
      </c>
      <c r="J46" s="25"/>
      <c r="K46" s="30" t="s">
        <v>107</v>
      </c>
      <c r="L46" s="28" t="s">
        <v>148</v>
      </c>
      <c r="M46" s="28"/>
      <c r="N46" s="28"/>
      <c r="O46" s="28"/>
      <c r="P46" s="31"/>
      <c r="Q46" t="str">
        <f t="shared" si="0"/>
        <v>:["GOTA"," GOTA","","","",""]</v>
      </c>
    </row>
    <row r="47" spans="8:17" x14ac:dyDescent="0.25">
      <c r="H47" s="25" t="s">
        <v>199</v>
      </c>
      <c r="I47" s="28" t="s">
        <v>198</v>
      </c>
      <c r="J47" s="25"/>
      <c r="K47" s="30" t="s">
        <v>109</v>
      </c>
      <c r="L47" s="28"/>
      <c r="M47" s="28"/>
      <c r="N47" s="28"/>
      <c r="O47" s="28"/>
      <c r="P47" s="31"/>
      <c r="Q47" t="str">
        <f t="shared" si="0"/>
        <v>:["ARTRITE","","","","",""]</v>
      </c>
    </row>
    <row r="48" spans="8:17" x14ac:dyDescent="0.25">
      <c r="H48" s="25" t="s">
        <v>207</v>
      </c>
      <c r="I48" s="28" t="s">
        <v>208</v>
      </c>
      <c r="J48" s="25"/>
      <c r="K48" s="30" t="s">
        <v>111</v>
      </c>
      <c r="L48" s="28" t="s">
        <v>114</v>
      </c>
      <c r="M48" s="28"/>
      <c r="N48" s="28"/>
      <c r="O48" s="28"/>
      <c r="P48" s="31"/>
      <c r="Q48" t="str">
        <f t="shared" si="0"/>
        <v>:["CA MAMA","CA DE MAMA","","","",""]</v>
      </c>
    </row>
    <row r="49" spans="8:17" x14ac:dyDescent="0.25">
      <c r="H49" s="25" t="s">
        <v>193</v>
      </c>
      <c r="I49" s="28" t="s">
        <v>194</v>
      </c>
      <c r="J49" s="25"/>
      <c r="K49" s="30" t="s">
        <v>112</v>
      </c>
      <c r="L49" s="28" t="s">
        <v>146</v>
      </c>
      <c r="M49" s="28"/>
      <c r="N49" s="28"/>
      <c r="O49" s="28"/>
      <c r="P49" s="31"/>
      <c r="Q49" t="str">
        <f t="shared" si="0"/>
        <v>:["FA"," FA","","","",""]</v>
      </c>
    </row>
    <row r="50" spans="8:17" x14ac:dyDescent="0.25">
      <c r="H50" s="25" t="s">
        <v>191</v>
      </c>
      <c r="I50" s="28" t="s">
        <v>192</v>
      </c>
      <c r="J50" s="25"/>
      <c r="K50" s="30" t="s">
        <v>117</v>
      </c>
      <c r="L50" s="28"/>
      <c r="M50" s="28"/>
      <c r="N50" s="28"/>
      <c r="O50" s="28"/>
      <c r="P50" s="31"/>
      <c r="Q50" t="str">
        <f t="shared" si="0"/>
        <v>:["LUPUS","","","","",""]</v>
      </c>
    </row>
    <row r="51" spans="8:17" x14ac:dyDescent="0.25">
      <c r="H51" s="25" t="s">
        <v>202</v>
      </c>
      <c r="I51" s="28" t="s">
        <v>204</v>
      </c>
      <c r="J51" s="25"/>
      <c r="K51" s="30" t="s">
        <v>119</v>
      </c>
      <c r="L51" s="28"/>
      <c r="M51" s="28"/>
      <c r="N51" s="28"/>
      <c r="O51" s="28"/>
      <c r="P51" s="31"/>
      <c r="Q51" t="str">
        <f t="shared" si="0"/>
        <v>:["OSTEOPOROSE","","","","",""]</v>
      </c>
    </row>
    <row r="52" spans="8:17" x14ac:dyDescent="0.25">
      <c r="H52" s="25" t="s">
        <v>201</v>
      </c>
      <c r="I52" s="28" t="s">
        <v>200</v>
      </c>
      <c r="J52" s="25"/>
      <c r="K52" s="30" t="s">
        <v>123</v>
      </c>
      <c r="L52" s="28" t="s">
        <v>152</v>
      </c>
      <c r="M52" s="28"/>
      <c r="N52" s="28"/>
      <c r="O52" s="28"/>
      <c r="P52" s="31"/>
      <c r="Q52" t="str">
        <f t="shared" si="0"/>
        <v>:["ARTROSE"," ARTROSE","","","",""]</v>
      </c>
    </row>
    <row r="53" spans="8:17" x14ac:dyDescent="0.25">
      <c r="H53" s="25" t="s">
        <v>197</v>
      </c>
      <c r="I53" s="28" t="s">
        <v>240</v>
      </c>
      <c r="J53" s="25"/>
      <c r="K53" s="30" t="s">
        <v>124</v>
      </c>
      <c r="L53" s="28" t="s">
        <v>139</v>
      </c>
      <c r="M53" s="28"/>
      <c r="N53" s="28"/>
      <c r="O53" s="28"/>
      <c r="P53" s="31"/>
      <c r="Q53" t="str">
        <f t="shared" si="0"/>
        <v>:["CA PROSTATA","CA DE PROSTATA","","","",""]</v>
      </c>
    </row>
    <row r="54" spans="8:17" x14ac:dyDescent="0.25">
      <c r="H54" s="25" t="s">
        <v>220</v>
      </c>
      <c r="I54" s="28" t="s">
        <v>221</v>
      </c>
      <c r="J54" s="25"/>
      <c r="K54" s="30" t="s">
        <v>125</v>
      </c>
      <c r="L54" s="28"/>
      <c r="M54" s="28"/>
      <c r="N54" s="28"/>
      <c r="O54" s="28"/>
      <c r="P54" s="31"/>
      <c r="Q54" t="str">
        <f t="shared" si="0"/>
        <v>:["NEOPLASIA","","","","",""]</v>
      </c>
    </row>
    <row r="55" spans="8:17" x14ac:dyDescent="0.25">
      <c r="H55" s="25" t="s">
        <v>203</v>
      </c>
      <c r="I55" s="28" t="s">
        <v>213</v>
      </c>
      <c r="J55" s="25"/>
      <c r="K55" s="30" t="s">
        <v>132</v>
      </c>
      <c r="L55" s="28"/>
      <c r="M55" s="28"/>
      <c r="N55" s="28"/>
      <c r="O55" s="28"/>
      <c r="P55" s="31"/>
      <c r="Q55" t="str">
        <f t="shared" si="0"/>
        <v>:["GASTRITE","","","","",""]</v>
      </c>
    </row>
    <row r="56" spans="8:17" x14ac:dyDescent="0.25">
      <c r="H56" s="25" t="s">
        <v>217</v>
      </c>
      <c r="I56" s="28" t="s">
        <v>216</v>
      </c>
      <c r="J56" s="25"/>
      <c r="K56" s="30" t="s">
        <v>134</v>
      </c>
      <c r="L56" s="28"/>
      <c r="M56" s="28"/>
      <c r="N56" s="28"/>
      <c r="O56" s="28"/>
      <c r="P56" s="31"/>
      <c r="Q56" t="str">
        <f t="shared" si="0"/>
        <v>:["DRGE","","","","",""]</v>
      </c>
    </row>
    <row r="57" spans="8:17" x14ac:dyDescent="0.25">
      <c r="H57" s="25" t="s">
        <v>218</v>
      </c>
      <c r="I57" s="28" t="s">
        <v>219</v>
      </c>
      <c r="J57" s="25"/>
      <c r="K57" s="30" t="s">
        <v>135</v>
      </c>
      <c r="L57" s="28"/>
      <c r="M57" s="28"/>
      <c r="N57" s="28"/>
      <c r="O57" s="28"/>
      <c r="P57" s="31"/>
      <c r="Q57" t="str">
        <f t="shared" si="0"/>
        <v>:["IRA","","","","",""]</v>
      </c>
    </row>
    <row r="58" spans="8:17" x14ac:dyDescent="0.25">
      <c r="H58" s="25" t="s">
        <v>209</v>
      </c>
      <c r="I58" s="28" t="s">
        <v>210</v>
      </c>
      <c r="J58" s="25"/>
      <c r="K58" s="30" t="s">
        <v>136</v>
      </c>
      <c r="L58" s="28"/>
      <c r="M58" s="28"/>
      <c r="N58" s="28"/>
      <c r="O58" s="28"/>
      <c r="P58" s="31"/>
      <c r="Q58" t="str">
        <f t="shared" si="0"/>
        <v>:["ARTRITE REUMATOIDE","","","","",""]</v>
      </c>
    </row>
    <row r="59" spans="8:17" x14ac:dyDescent="0.25">
      <c r="H59" s="25" t="s">
        <v>211</v>
      </c>
      <c r="I59" s="28" t="s">
        <v>212</v>
      </c>
      <c r="J59" s="25"/>
      <c r="K59" s="30" t="s">
        <v>138</v>
      </c>
      <c r="L59" s="28"/>
      <c r="M59" s="28"/>
      <c r="N59" s="28"/>
      <c r="O59" s="28"/>
      <c r="P59" s="31"/>
      <c r="Q59" t="str">
        <f t="shared" si="0"/>
        <v>:["CHAGAS","","","","",""]</v>
      </c>
    </row>
    <row r="60" spans="8:17" x14ac:dyDescent="0.25">
      <c r="H60" s="25" t="s">
        <v>223</v>
      </c>
      <c r="I60" s="28" t="s">
        <v>224</v>
      </c>
      <c r="J60" s="25"/>
      <c r="K60" s="30" t="s">
        <v>141</v>
      </c>
      <c r="L60" s="28"/>
      <c r="M60" s="28"/>
      <c r="N60" s="28"/>
      <c r="O60" s="28"/>
      <c r="P60" s="31"/>
      <c r="Q60" t="str">
        <f t="shared" si="0"/>
        <v>:["DAOP","","","","",""]</v>
      </c>
    </row>
    <row r="61" spans="8:17" x14ac:dyDescent="0.25">
      <c r="H61" s="25" t="s">
        <v>225</v>
      </c>
      <c r="I61" s="28" t="s">
        <v>226</v>
      </c>
      <c r="J61" s="25"/>
      <c r="K61" s="30" t="s">
        <v>143</v>
      </c>
      <c r="L61" s="28"/>
      <c r="M61" s="28"/>
      <c r="N61" s="28"/>
      <c r="O61" s="28"/>
      <c r="P61" s="31"/>
      <c r="Q61" t="str">
        <f t="shared" si="0"/>
        <v>:["TEP","","","","",""]</v>
      </c>
    </row>
    <row r="62" spans="8:17" ht="15.75" thickBot="1" x14ac:dyDescent="0.3">
      <c r="H62" s="26" t="s">
        <v>205</v>
      </c>
      <c r="I62" s="29" t="s">
        <v>206</v>
      </c>
      <c r="J62" s="26"/>
      <c r="K62" s="32" t="s">
        <v>153</v>
      </c>
      <c r="L62" s="29"/>
      <c r="M62" s="29"/>
      <c r="N62" s="29"/>
      <c r="O62" s="29"/>
      <c r="P62" s="33"/>
      <c r="Q62" t="str">
        <f t="shared" si="0"/>
        <v>:["LEUCEMIA","","","","",""]</v>
      </c>
    </row>
  </sheetData>
  <mergeCells count="1">
    <mergeCell ref="K10:P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Gomes Maddalena</dc:creator>
  <cp:lastModifiedBy>Lucas Gomes Maddalena</cp:lastModifiedBy>
  <dcterms:created xsi:type="dcterms:W3CDTF">2022-05-13T22:58:53Z</dcterms:created>
  <dcterms:modified xsi:type="dcterms:W3CDTF">2022-05-22T21:42:26Z</dcterms:modified>
</cp:coreProperties>
</file>